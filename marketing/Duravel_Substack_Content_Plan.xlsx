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 Plan" sheetId="1" state="visible" r:id="rId3"/>
    <sheet name="Series Overview" sheetId="2" state="visible" r:id="rId4"/>
    <sheet name="How to Use" sheetId="3" state="visible" r:id="rId5"/>
  </sheets>
  <definedNames>
    <definedName function="false" hidden="true" localSheetId="0" name="_xlnm._FilterDatabase" vbProcedure="false">'Content Plan'!$A$4:$N$19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<sst xmlns="http://schemas.openxmlformats.org/spreadsheetml/2006/main" count="213" uniqueCount="166">
  <si>
    <t xml:space="preserve">Duravel — Volume vs. Intensity Substack Series | Content Plan &amp; Tracker</t>
  </si>
  <si>
    <t xml:space="preserve">15 posts = 5 sport series x 3 audiences. Yellow columns (Publish Date, Status, Substack URL, Notes) are yours to fill in. Status is a dropdown. Source: Duravel volume-vs-intensity research report.</t>
  </si>
  <si>
    <t xml:space="preserve">Order</t>
  </si>
  <si>
    <t xml:space="preserve">Series (Sport)</t>
  </si>
  <si>
    <t xml:space="preserve">Audience</t>
  </si>
  <si>
    <t xml:space="preserve">Post ID</t>
  </si>
  <si>
    <t xml:space="preserve">Substack Title</t>
  </si>
  <si>
    <t xml:space="preserve">Email Subject Line</t>
  </si>
  <si>
    <t xml:space="preserve">Teaser Blurb</t>
  </si>
  <si>
    <t xml:space="preserve">Instagram Carousel (slide-by-slide)</t>
  </si>
  <si>
    <t xml:space="preserve">Instagram Caption</t>
  </si>
  <si>
    <t xml:space="preserve">Suggested Slot</t>
  </si>
  <si>
    <t xml:space="preserve">Publish Date</t>
  </si>
  <si>
    <t xml:space="preserve">Status</t>
  </si>
  <si>
    <t xml:space="preserve">Substack URL</t>
  </si>
  <si>
    <t xml:space="preserve">Notes</t>
  </si>
  <si>
    <t xml:space="preserve">HYROX</t>
  </si>
  <si>
    <t xml:space="preserve">Everyday</t>
  </si>
  <si>
    <t xml:space="preserve">HYX-E</t>
  </si>
  <si>
    <t xml:space="preserve">Signing Up for Your First HYROX? Do Less Than You Think.</t>
  </si>
  <si>
    <t xml:space="preserve">Your first HYROX: do less than you think</t>
  </si>
  <si>
    <t xml:space="preserve">You don't need to be huge or train every day to finish a HYROX. You need to be a decent runner who can keep moving when it hurts. Here's what actually matters when you're starting out.</t>
  </si>
  <si>
    <t xml:space="preserve">Slide 1 (hook): Training for your first HYROX? You're probably doing too much.
Slide 2: HYROX is mostly running — 8x1km — with 8 stations mixed in. It's an ENDURANCE test.
Slide 3: You only need to be strong ENOUGH to move the sleds. Past that, fitness carries you.
Slide 4: Run mostly easy. Lift twice a week (short + heavy-ish). Practice running AFTER a station.
Slide 5: 5-10 smart hours a week beats junk volume. Consistency wins.
Slide 6 (CTA): Duravel builds the plan for you. -&gt; link in bio</t>
  </si>
  <si>
    <t xml:space="preserve">First HYROX? Do less than you think — and keep most of it easy. Full breakdown on our Substack (link in bio). #HYROX #hybridtraining #hyroxtraining</t>
  </si>
  <si>
    <t xml:space="preserve">Wk 1 - Tue</t>
  </si>
  <si>
    <t xml:space="preserve">Drafted</t>
  </si>
  <si>
    <t xml:space="preserve">Competitive athletes</t>
  </si>
  <si>
    <t xml:space="preserve">HYX-C</t>
  </si>
  <si>
    <t xml:space="preserve">You Don't Need 20 Hours a Week to Get Fast at HYROX</t>
  </si>
  <si>
    <t xml:space="preserve">The 10-hour HYROX week (that's Pro-qualifier territory)</t>
  </si>
  <si>
    <t xml:space="preserve">A well-built 10-hour week is genuinely Pro-qualifier territory for HYROX. The trick is spending those hours on the thing that's actually slowing you down: compromised running.</t>
  </si>
  <si>
    <t xml:space="preserve">Slide 1 (hook): You don't need 20 hrs/week to get fast at HYROX.
Slide 2: The race is 50%+ running and ~70-80% aerobic. VO2max predicts your time. Max strength barely does.
Slide 3: Your real enemy: 'compromised running' — you run 20-30s/km slower once the stations pile up.
Slide 4: The 10-hr week: ~50% run / 28% stations / 22% strength. Intensity ~70/15/15.
Slide 5: Keep strength LOW-volume, high-quality. It halves your late-race slowdown.
Slide 6 (CTA): Stop out-strengthing the event. Train the run to survive fatigue. -&gt; Duravel</t>
  </si>
  <si>
    <t xml:space="preserve">10 focused hours &gt; 20 junk hours for HYROX. Here's the split that works (link in bio). #HYROX #HYROXtraining #hybridathlete</t>
  </si>
  <si>
    <t xml:space="preserve">Wk 1 - Thu</t>
  </si>
  <si>
    <t xml:space="preserve">Sport scientists / coaches</t>
  </si>
  <si>
    <t xml:space="preserve">HYX-S</t>
  </si>
  <si>
    <t xml:space="preserve">What the Physiology Actually Says About Programming for HYROX</t>
  </si>
  <si>
    <t xml:space="preserve">HYROX programming: what the one study actually shows</t>
  </si>
  <si>
    <t xml:space="preserve">HYROX physiology rests on a single N=11 study — and it's more decisive than its sample suggests. VO2max rho=-0.71, strength barely correlated, and why strength earns its place through durability, not economy.</t>
  </si>
  <si>
    <t xml:space="preserve">Slide 1 (hook): HYROX programming: what the physiology actually says.
Slide 2: Brandt 2025 (N=11): ~80% of the race at &gt;=90% HRmax. It's aerobic-dominant.
Slide 3: VO2max rho=-0.71 with finish time. Max strength: weak. Build a strength FLOOR, not a ceiling.
Slide 4: Strength's real job = durability. Zanini 2025: halved the 90-min economy decrement, +35% TTE.
Slide 5: Concurrent training spares strength (SMD~0) but hurts POWER (SMD~-0.28). Protect it: low-volume, high-quality.
Slide 6 (CTA): Full breakdown + sources on Substack -&gt; Duravel</t>
  </si>
  <si>
    <t xml:space="preserve">The evidence behind smart HYROX programming — sources included. Link in bio. #HYROX #sportscience #strengthandconditioning</t>
  </si>
  <si>
    <t xml:space="preserve">Wk 2 - Tue</t>
  </si>
  <si>
    <t xml:space="preserve">DEKA</t>
  </si>
  <si>
    <t xml:space="preserve">DEK-E</t>
  </si>
  <si>
    <t xml:space="preserve">Thinking About DEKA? Pick the Right Version First.</t>
  </si>
  <si>
    <t xml:space="preserve">DEKA has 3 versions — pick the right one first</t>
  </si>
  <si>
    <t xml:space="preserve">DEKA comes in three flavors — STRONG, MILE, FIT — and choosing the right one makes training simpler and shorter than you'd expect. The shortest version needs just ~5 hours a week.</t>
  </si>
  <si>
    <t xml:space="preserve">Slide 1 (hook): Thinking about DEKA? Pick the right VERSION first.
Slide 2: STRONG = 10 zones, no running, ~12 min. MILE = +1 mile. FIT = +5k, ~30 min.
Slide 3: Shorter version = LESS training. DEKA STRONG is competitive on ~5 hrs/week.
Slide 4: Short on time or love the grind? STRONG. Want an endurance test? FIT.
Slide 5: Going past ~20 hrs/week is overkill for any DEKA format.
Slide 6 (CTA): Duravel builds the plan for your format. -&gt; link in bio</t>
  </si>
  <si>
    <t xml:space="preserve">DEKA's 3 formats need 3 different plans. Pick yours (link in bio). #DEKA #DEKAFIT #functionalfitness</t>
  </si>
  <si>
    <t xml:space="preserve">Wk 2 - Thu</t>
  </si>
  <si>
    <t xml:space="preserve">DEK-C</t>
  </si>
  <si>
    <t xml:space="preserve">The DEKA Format You Picked Should Change Your Entire Training Plan</t>
  </si>
  <si>
    <t xml:space="preserve">STRONG, MILE, FIT: train them differently</t>
  </si>
  <si>
    <t xml:space="preserve">STRONG, MILE, and FIT aren't the same race at different lengths. STRONG is a 12-min power sprint you can peak for on 5 hours a week; FIT is basically a HYROX. Train the specific demand.</t>
  </si>
  <si>
    <t xml:space="preserve">Slide 1 (hook): Your DEKA format should change your ENTIRE plan.
Slide 2: STRONG (~12 min): a power sprint. The most 'low-hours-friendly' event there is.
Slide 3: STRONG athletes: 5 focused hrs/week is a complete program. Bias harder — more Z3, extra power.
Slide 4: FIT (~30 min, 5k run): basically a HYROX. Needs aerobic base too. ~10 hrs, 60/18/22.
Slide 5: Every format: past ~20 hrs/week buys you almost nothing.
Slide 6 (CTA): Pick your format. Train its demand. -&gt; Duravel</t>
  </si>
  <si>
    <t xml:space="preserve">One of these is a sprint, one's an endurance grind. Don't train them the same (link in bio). #DEKA #DEKASTRONG #DEKAFIT</t>
  </si>
  <si>
    <t xml:space="preserve">Wk 3 - Tue</t>
  </si>
  <si>
    <t xml:space="preserve">DEK-S</t>
  </si>
  <si>
    <t xml:space="preserve">DEKA Is Three Different Events. Program It That Way.</t>
  </si>
  <si>
    <t xml:space="preserve">No DEKA lab study exists. Program it anyway.</t>
  </si>
  <si>
    <t xml:space="preserve">No peer-reviewed physiology of DEKA exists yet — but format and duration tell you almost everything about the intensity-volume trade, if you stop treating 'DEKA' as one event.</t>
  </si>
  <si>
    <t xml:space="preserve">Slide 1 (hook): DEKA is 3 different events. Program it that way.
Slide 2: STRONG (~12 min): glycolytic power sprint. MILE: power-endurance. FIT (~30 min): glycolytic-oxidative.
Slide 3: No lab study exists. Profiles inferred from format + duration — label them as such.
Slide 4: Duration thesis: shorter + more glycolytic -&gt; intensity substitutes better, strength/power pays more.
Slide 5: Ceiling: &gt;~20 hrs/week has NO event-specific justification for any DEKA format.
Slide 6 (CTA): Full model + caveats on Substack -&gt; Duravel</t>
  </si>
  <si>
    <t xml:space="preserve">How to program an event with no physiology study — using duration logic. Link in bio. #DEKA #sportscience #coaching</t>
  </si>
  <si>
    <t xml:space="preserve">Wk 3 - Thu</t>
  </si>
  <si>
    <t xml:space="preserve">Olympic Triathlon</t>
  </si>
  <si>
    <t xml:space="preserve">OLY-E</t>
  </si>
  <si>
    <t xml:space="preserve">Olympic-Distance Triathlon Is More Doable Than It Sounds</t>
  </si>
  <si>
    <t xml:space="preserve">The triathlon distance that fits a busy life</t>
  </si>
  <si>
    <t xml:space="preserve">An Olympic-distance tri is a 1.5k swim, 40k bike, 10k run — and it's the tri distance where smart beats a lot. You can prepare on ~8-10 hours a week.</t>
  </si>
  <si>
    <t xml:space="preserve">Slide 1 (hook): Olympic-distance triathlon is more doable than it sounds.
Slide 2: 1.5k swim | 40k bike | 10k run. ~2 hours. Even pros train 'only' ~15 hrs/week.
Slide 3: It rewards being fit + efficient — things you can build on a normal schedule.
Slide 4: Keep most training EASY. 1-2 hard efforts/week. Practice riding -&gt; running.
Slide 5: ~8-10 hrs/week gets you there. A few mornings + one weekend session.
Slide 6 (CTA): Duravel builds all 3 sports around your time. -&gt; link in bio</t>
  </si>
  <si>
    <t xml:space="preserve">Your first triathlon is closer than you think. The Olympic distance, demystified (link in bio). #triathlon #olympictriathlon</t>
  </si>
  <si>
    <t xml:space="preserve">Wk 4 - Tue</t>
  </si>
  <si>
    <t xml:space="preserve">OLY-C</t>
  </si>
  <si>
    <t xml:space="preserve">The 10-Hour Week That Makes You Competitive at Olympic-Distance Tri</t>
  </si>
  <si>
    <t xml:space="preserve">Short-course rewards sharpness, not just hours</t>
  </si>
  <si>
    <t xml:space="preserve">Even elite Olympic-distance triathletes train ~15 hours a week. The distance rewards intensity and economy — so a smart 10-hour week makes you genuinely competitive. Here's the blueprint.</t>
  </si>
  <si>
    <t xml:space="preserve">Slide 1 (hook): The 10-hr week that makes you competitive at Olympic-distance tri.
Slide 2: Even elites train ~15 hrs. Short-course rewards sharpness, not just volume.
Slide 3: Split: ~S 22 / B 42 / R 28 / strength 8%. Intensity ~70/15/15.
Slide 4: Biggest mistake: the gray zone. Keep easy days EASY so hard days go hard.
Slide 5: Two quality bricks/week. Don't skip the swim.
Slide 6 (CTA): 10 smart hours goes far here. -&gt; Duravel</t>
  </si>
  <si>
    <t xml:space="preserve">You don't need 20 hrs for a fast Olympic-distance tri. The 10-hr blueprint (link in bio). #triathlon #agegrouper</t>
  </si>
  <si>
    <t xml:space="preserve">Wk 4 - Thu</t>
  </si>
  <si>
    <t xml:space="preserve">OLY-S</t>
  </si>
  <si>
    <t xml:space="preserve">Why Olympic-Distance Is the Endurance Event Where Intensity Buys the Most</t>
  </si>
  <si>
    <t xml:space="preserve">Where intensity substitutes best (and why)</t>
  </si>
  <si>
    <t xml:space="preserve">World-class Olympic athletes train ~15 hours a week and log 82/7/11 polarized. It's the endurance event where the intensity-for-volume substitution holds best — here's the physiology.</t>
  </si>
  <si>
    <t xml:space="preserve">Slide 1 (hook): Olympic-distance: where intensity buys the most.
Slide 2: Elites train ~15 hrs/week — the distance rewards intensity + economy.
Slide 3: Cejuela 2022: world-class athlete at 82% Z1 / 7% Z2 / 11% Z3. Textbook polarized.
Slide 4: ~2-hr race decided by VO2max, threshold, economy -&gt; intensity substitutes well.
Slide 5: Contrast Ironman: Z1 volume r~-0.9. The gradient is duration.
Slide 6 (CTA): Full breakdown + sources -&gt; Duravel</t>
  </si>
  <si>
    <t xml:space="preserve">Why short-course lets you substitute intensity for volume — the data. Link in bio. #triathlon #sportscience #endurance</t>
  </si>
  <si>
    <t xml:space="preserve">Wk 5 - Tue</t>
  </si>
  <si>
    <t xml:space="preserve">Half-Ironman (70.3)</t>
  </si>
  <si>
    <t xml:space="preserve">703-E</t>
  </si>
  <si>
    <t xml:space="preserve">The Half-Ironman: What 'Finishing Well' Actually Takes</t>
  </si>
  <si>
    <t xml:space="preserve">Half-Ironman: how to finish it feeling good</t>
  </si>
  <si>
    <t xml:space="preserve">A 70.3 is a 1.9k swim, 90k bike, and a half-marathon. Big — but very finishable on ~10 hours a week if you build your long sessions patiently and practice your fueling.</t>
  </si>
  <si>
    <t xml:space="preserve">Slide 1 (hook): The half-Ironman: what 'finishing well' actually takes.
Slide 2: 1.9k swim | 90k bike | 21k run. ~4-5.5 hrs. A bucket-list race.
Slide 3: It gets hard at the END of the run. You beat that with EASY endurance, not more speed.
Slide 4: One long ride + one long run/week. Build them slowly. Keep most training easy.
Slide 5: Practice eating + drinking on long sessions. Gut &gt; legs on race day.
Slide 6 (CTA): ~10 consistent hrs/week gets you there. -&gt; Duravel</t>
  </si>
  <si>
    <t xml:space="preserve">A 70.3 is huge — and doable. Here's the recipe for a strong finish (link in bio). #triathlon #703 #halfironman</t>
  </si>
  <si>
    <t xml:space="preserve">Wk 5 - Thu</t>
  </si>
  <si>
    <t xml:space="preserve">703-C</t>
  </si>
  <si>
    <t xml:space="preserve">For a 70.3, Be Honest About Finishing vs. Competing</t>
  </si>
  <si>
    <t xml:space="preserve">70.3: finishing and competing aren't the same plan</t>
  </si>
  <si>
    <t xml:space="preserve">Ten hours a week gets you across a 70.3 line in good shape. Racing the back half of the run is a different, more volume-hungry goal. Pick your honest target — then train the matching budget.</t>
  </si>
  <si>
    <t xml:space="preserve">Slide 1 (hook): For a 70.3, be honest: finishing vs. competing?
Slide 2: The race is decided in the last 5-7k of the run. That's DURABILITY — built with volume.
Slide 3: Finish strong: ~10 hrs/week. Long ride 2.5-3h + long run 75-90min. ~68/17/15.
Slide 4: Compete: closer to 20 hrs. More easy volume, a long fueling brick, ~80/8/12.
Slide 5: Don't turn a short week into all-hard training. Keep the majority easy.
Slide 6 (CTA): Know what your hours can deliver. -&gt; Duravel</t>
  </si>
  <si>
    <t xml:space="preserve">Finishing a 70.3 and racing it are two different plans. Which are you training for? (link in bio) #703 #halfironman #triathlon</t>
  </si>
  <si>
    <t xml:space="preserve">Wk 6 - Tue</t>
  </si>
  <si>
    <t xml:space="preserve">703-S</t>
  </si>
  <si>
    <t xml:space="preserve">70.3 Is Where the Finishing-vs-Competing Gap Opens Up</t>
  </si>
  <si>
    <t xml:space="preserve">The half: where intensity starts to fail</t>
  </si>
  <si>
    <t xml:space="preserve">At ~4-5.5 hours, the 70.3 is where the intensity-for-volume substitution begins to break — and it breaks in the back half of the run, where the volume-gated traits live.</t>
  </si>
  <si>
    <t xml:space="preserve">Slide 1 (hook): 70.3: where finishing and competing split.
Slide 2: ~4-5.5 hr race -&gt; volume-gated traits start to bind: fat oxidation, GI tolerance, run durability.
Slide 3: 10-hr week = credible finisher (~68/17/15). Sacrifices late-race durability depth.
Slide 4: 20-hr week = durability, fat ox, GI tolerance, real competitiveness (~80/8/12).
Slide 5: Time-limited? Name the trade. Intensity mostly raises cost without buying durability.
Slide 6 (CTA): Budget matrix + sources -&gt; Duravel</t>
  </si>
  <si>
    <t xml:space="preserve">Where the half-Ironman stops rewarding intensity — and starts demanding volume. Link in bio. #triathlon #coaching #sportscience</t>
  </si>
  <si>
    <t xml:space="preserve">Wk 6 - Thu</t>
  </si>
  <si>
    <t xml:space="preserve">Ironman (140.6)</t>
  </si>
  <si>
    <t xml:space="preserve">IM-E</t>
  </si>
  <si>
    <t xml:space="preserve">Training for an Ironman on a Normal Life</t>
  </si>
  <si>
    <t xml:space="preserve">Ironman on a normal life: go slow, mostly</t>
  </si>
  <si>
    <t xml:space="preserve">140.6 miles is enormous — but the training secret is the opposite of what most assume: go easy, most of the time. Finishing an Ironman with a job and a life is genuinely possible.</t>
  </si>
  <si>
    <t xml:space="preserve">Slide 1 (hook): Training for an Ironman on a normal life.
Slide 2: 3.8k swim | 180k bike | 42.2k run. The secret? Go SLOW, most of the time.
Slide 3: Research: more EASY training -&gt; faster finishes. More medium-hard -&gt; SLOWER.
Slide 4: Long ride + long run + practice back-to-back. Built up over months.
Slide 5: Practice fueling. On a day that long, your stomach matters as much as your legs.
Slide 6 (CTA): Consistent, patient, mostly-easy. -&gt; Duravel</t>
  </si>
  <si>
    <t xml:space="preserve">The Ironman secret nobody expects: go easy, most of the time. Here's how normal people finish (link in bio). #Ironman #triathlon</t>
  </si>
  <si>
    <t xml:space="preserve">Wk 7 - Tue</t>
  </si>
  <si>
    <t xml:space="preserve">IM-C</t>
  </si>
  <si>
    <t xml:space="preserve">The Ironman Rule Nobody Wants to Hear: Keep It Easy</t>
  </si>
  <si>
    <t xml:space="preserve">Ironman: 'more Zone 2' = slower. Here's why.</t>
  </si>
  <si>
    <t xml:space="preserve">At Ironman distance, time in the moderately-hard 'gray zone' correlates with SLOWER racing. The fewer hours you have, the more disciplined you must be about keeping them easy.</t>
  </si>
  <si>
    <t xml:space="preserve">Slide 1 (hook): The Ironman rule nobody wants to hear: keep it EASY.
Slide 2: Munoz 2014: easy Z1 volume -&gt; faster. More Z2 'gray zone' -&gt; SLOWER (r~+0.94).
Slide 3: Fewer hours = MORE discipline about easy, not less. Hard training raises cost, not durability.
Slide 4: Protect a big easy base. Long ride, long run, long brick with real fueling.
Slide 5: Amateur sweet spot ~14 hrs/week. Over-reachers finish slower.
Slide 6 (CTA): Trust the base. -&gt; Duravel</t>
  </si>
  <si>
    <t xml:space="preserve">At Ironman distance, going medium-hard makes you slower. The data's brutal (link in bio). #Ironman #triathlon #endurance</t>
  </si>
  <si>
    <t xml:space="preserve">Wk 7 - Thu</t>
  </si>
  <si>
    <t xml:space="preserve">IM-S</t>
  </si>
  <si>
    <t xml:space="preserve">Ironman Is the One Event Where Intensity Can't Buy Back Volume</t>
  </si>
  <si>
    <t xml:space="preserve">Ironman: Z1 volume r~-0.9, Z2 r~+0.94</t>
  </si>
  <si>
    <t xml:space="preserve">Accumulated Zone 1 volume correlates with faster Ironman finish at r~-0.9; more Zone 2 correlates with slower racing at r~+0.94. The clean end of the duration thesis — and how to program it.</t>
  </si>
  <si>
    <t xml:space="preserve">Slide 1 (hook): Ironman: intensity can't buy back volume.
Slide 2: Munoz 2014: Z1 time r~-0.92 (faster). Total volume r~-0.69. Z2 r~+0.94 (SLOWER).
Slide 3: 8-17 hr race won on fat ox, durability, GI tolerance, structure — all volume-gated.
Slide 4: Amateur optimum ~14 hrs. Minimalist (~6 hrs) finishes but doesn't compete.
Slide 5: Mandate: protect Z1, ration intensity. The 'make hours count by going hard' instinct is wrong here.
Slide 6 (CTA): Full model + sources -&gt; Duravel</t>
  </si>
  <si>
    <t xml:space="preserve">The strongest evidence in the volume-vs-intensity debate lives at Ironman distance. Link in bio. #Ironman #sportscience #coaching</t>
  </si>
  <si>
    <t xml:space="preserve">Wk 8 - Tue</t>
  </si>
  <si>
    <t xml:space="preserve">Series Overview &amp; Angles</t>
  </si>
  <si>
    <t xml:space="preserve">Through-line / Angle</t>
  </si>
  <si>
    <t xml:space="preserve">Posts (audiences)</t>
  </si>
  <si>
    <t xml:space="preserve">Aerobic-dominant with a strength FLOOR, not ceiling. The limiter is 'compromised running' (durability). A 10-hour week is Pro-qualifier territory; strength earns its place via durability, not fresh economy.</t>
  </si>
  <si>
    <t xml:space="preserve">Everyday, Competitive, Coaches</t>
  </si>
  <si>
    <t xml:space="preserve">It's three different events (STRONG / MILE / FIT), not one. The shorter and more glycolytic, the more intensity substitutes for volume. STRONG is competitive on ~5 hrs/week; &gt;20 hrs has no justification.</t>
  </si>
  <si>
    <t xml:space="preserve">The endurance event where intensity substitutes BEST. Even elites train ~15 hrs/week; a smart 10-hour week is competitive. Keep the easy easy and the hard hard (avoid the gray zone).</t>
  </si>
  <si>
    <t xml:space="preserve">Where 'finishing' and 'competing' pull apart. 10 hrs = credible finisher; competing the back half of the run needs volume-gated durability. Name the trade honestly.</t>
  </si>
  <si>
    <t xml:space="preserve">The clearest case of volume-dominance. Easy Z1 volume correlates with faster finishes; more Zone 2 correlates with SLOWER. The fewer hours you have, the more disciplined you must be about keeping them easy.</t>
  </si>
  <si>
    <t xml:space="preserve">Progress</t>
  </si>
  <si>
    <t xml:space="preserve">Total posts</t>
  </si>
  <si>
    <t xml:space="preserve">Not started</t>
  </si>
  <si>
    <t xml:space="preserve">Scheduled</t>
  </si>
  <si>
    <t xml:space="preserve">Published</t>
  </si>
  <si>
    <t xml:space="preserve">Duravel Substack Content Plan — How to Use</t>
  </si>
  <si>
    <t xml:space="preserve">WHAT'S HERE</t>
  </si>
  <si>
    <t xml:space="preserve">15 ready-to-publish Substack posts (delivered separately as 5 markdown files, one per sport).</t>
  </si>
  <si>
    <t xml:space="preserve">This workbook is the plan + tracker: titles, email subject lines, teaser blurbs, publish order,</t>
  </si>
  <si>
    <t xml:space="preserve">and a short-form Instagram carousel version for each post.</t>
  </si>
  <si>
    <t xml:space="preserve">COLUMNS YOU FILL IN (shaded yellow on 'Content Plan')</t>
  </si>
  <si>
    <t xml:space="preserve">- Publish Date: the actual date you schedule/publish each post.</t>
  </si>
  <si>
    <t xml:space="preserve">- Status: dropdown — Not started / Drafted / Scheduled / Published (all start as 'Drafted').</t>
  </si>
  <si>
    <t xml:space="preserve">- Substack URL: paste the live post link once published.</t>
  </si>
  <si>
    <t xml:space="preserve">- Notes: anything else (performance, edits, cross-posts).</t>
  </si>
  <si>
    <t xml:space="preserve">SUGGESTED PUBLISH ORDER &amp; CADENCE</t>
  </si>
  <si>
    <t xml:space="preserve">Order 1-15 runs sport-by-sport, and within each sport: Everyday -&gt; Competitive -&gt; Coaches</t>
  </si>
  <si>
    <t xml:space="preserve">(broad hook first, then core athlete, then authority/credibility).</t>
  </si>
  <si>
    <t xml:space="preserve">Suggested cadence: 2 posts/week (Tue + Thu) across ~8 weeks — see the 'Suggested Slot' column.</t>
  </si>
  <si>
    <t xml:space="preserve">Alternative: interleave audiences across sports if you'd rather vary the feed week to week.</t>
  </si>
  <si>
    <t xml:space="preserve">INSTAGRAM CAROUSEL</t>
  </si>
  <si>
    <t xml:space="preserve">Each post has a 6-slide carousel version (hook -&gt; points -&gt; CTA) plus a ready caption.</t>
  </si>
  <si>
    <t xml:space="preserve">Slide text is intentionally short — one idea per slide. Swap 'link in bio' for your live URL.</t>
  </si>
  <si>
    <t xml:space="preserve">NOTES ON THE COPY</t>
  </si>
  <si>
    <t xml:space="preserve">- Every claim traces to the Duravel volume-vs-intensity research report (no invented numbers).</t>
  </si>
  <si>
    <t xml:space="preserve">- The 'Duravel' line at the end of each post/caption is a soft CTA — keep, cut, or swap it.</t>
  </si>
  <si>
    <t xml:space="preserve">- The brand accent color used here is a placeholder; adjust to your palette.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</si>
</sst>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4"/>
      <color rgb="FF1F2937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b val="true"/>
      <sz val="11"/>
      <color rgb="FFE8632A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DECE4"/>
        <bgColor rgb="FFFDF3E0"/>
      </patternFill>
    </fill>
    <fill>
      <patternFill patternType="solid">
        <fgColor rgb="FFFFF6D5"/>
        <bgColor rgb="FFFDF3E0"/>
      </patternFill>
    </fill>
    <fill>
      <patternFill patternType="solid">
        <fgColor rgb="FFE7F0FB"/>
        <bgColor rgb="FFE9F7EF"/>
      </patternFill>
    </fill>
    <fill>
      <patternFill patternType="solid">
        <fgColor rgb="FFE9F7EF"/>
        <bgColor rgb="FFE7F0FB"/>
      </patternFill>
    </fill>
    <fill>
      <patternFill patternType="solid">
        <fgColor rgb="FFF3ECFB"/>
        <bgColor rgb="FFE7F0FB"/>
      </patternFill>
    </fill>
    <fill>
      <patternFill patternType="solid">
        <fgColor rgb="FFFDF3E0"/>
        <bgColor rgb="FFFFF6D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F0FB"/>
          <bgColor rgb="FF000000"/>
        </patternFill>
      </fill>
    </dxf>
    <dxf>
      <fill>
        <patternFill patternType="solid">
          <fgColor rgb="FFE9F7EF"/>
          <bgColor rgb="FF000000"/>
        </patternFill>
      </fill>
    </dxf>
    <dxf>
      <fill>
        <patternFill patternType="solid">
          <fgColor rgb="FFF3ECFB"/>
          <bgColor rgb="FF000000"/>
        </patternFill>
      </fill>
    </dxf>
    <dxf>
      <fill>
        <patternFill patternType="solid">
          <fgColor rgb="FFFDECE4"/>
          <bgColor rgb="FF000000"/>
        </patternFill>
      </fill>
    </dxf>
    <dxf>
      <fill>
        <patternFill patternType="solid">
          <fgColor rgb="FFFDF3E0"/>
          <bgColor rgb="FF000000"/>
        </patternFill>
      </fill>
    </dxf>
    <dxf>
      <fill>
        <patternFill patternType="solid">
          <fgColor rgb="FFFFF6D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5"/>
      <rgbColor rgb="FFE9F7E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0FB"/>
      <rgbColor rgb="FFF3ECFB"/>
      <rgbColor rgb="FFFDF3E0"/>
      <rgbColor rgb="FF99CCFF"/>
      <rgbColor rgb="FFFF99CC"/>
      <rgbColor rgb="FFCC99FF"/>
      <rgbColor rgb="FFFDECE4"/>
      <rgbColor rgb="FF3366FF"/>
      <rgbColor rgb="FF33CCCC"/>
      <rgbColor rgb="FF99CC00"/>
      <rgbColor rgb="FFFFCC00"/>
      <rgbColor rgb="FFFF9900"/>
      <rgbColor rgb="FFE8632A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9"/>
    <col collapsed="false" customWidth="true" hidden="false" outlineLevel="0" max="5" min="5" style="0" width="42"/>
    <col collapsed="false" customWidth="true" hidden="false" outlineLevel="0" max="6" min="6" style="0" width="40"/>
    <col collapsed="false" customWidth="true" hidden="false" outlineLevel="0" max="7" min="7" style="0" width="46"/>
    <col collapsed="false" customWidth="true" hidden="false" outlineLevel="0" max="8" min="8" style="0" width="60"/>
    <col collapsed="false" customWidth="true" hidden="false" outlineLevel="0" max="9" min="9" style="0" width="46"/>
    <col collapsed="false" customWidth="true" hidden="false" outlineLevel="0" max="12" min="10" style="0" width="14"/>
    <col collapsed="false" customWidth="true" hidden="false" outlineLevel="0" max="14" min="13" style="0" width="2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17.75" hidden="false" customHeight="true" outlineLevel="0" collapsed="false">
      <c r="A5" s="4" t="n">
        <v>1</v>
      </c>
      <c r="B5" s="5" t="s">
        <v>16</v>
      </c>
      <c r="C5" s="6" t="s">
        <v>17</v>
      </c>
      <c r="D5" s="6" t="s">
        <v>18</v>
      </c>
      <c r="E5" s="7" t="s">
        <v>19</v>
      </c>
      <c r="F5" s="7" t="s">
        <v>20</v>
      </c>
      <c r="G5" s="7" t="s">
        <v>21</v>
      </c>
      <c r="H5" s="7" t="s">
        <v>22</v>
      </c>
      <c r="I5" s="7" t="s">
        <v>23</v>
      </c>
      <c r="J5" s="6" t="s">
        <v>24</v>
      </c>
      <c r="K5" s="8"/>
      <c r="L5" s="8" t="s">
        <v>25</v>
      </c>
      <c r="M5" s="8"/>
      <c r="N5" s="9"/>
    </row>
    <row r="6" customFormat="false" ht="117.75" hidden="false" customHeight="true" outlineLevel="0" collapsed="false">
      <c r="A6" s="4" t="n">
        <v>2</v>
      </c>
      <c r="B6" s="5" t="s">
        <v>16</v>
      </c>
      <c r="C6" s="6" t="s">
        <v>26</v>
      </c>
      <c r="D6" s="6" t="s">
        <v>27</v>
      </c>
      <c r="E6" s="7" t="s">
        <v>28</v>
      </c>
      <c r="F6" s="7" t="s">
        <v>29</v>
      </c>
      <c r="G6" s="7" t="s">
        <v>30</v>
      </c>
      <c r="H6" s="7" t="s">
        <v>31</v>
      </c>
      <c r="I6" s="7" t="s">
        <v>32</v>
      </c>
      <c r="J6" s="6" t="s">
        <v>33</v>
      </c>
      <c r="K6" s="8"/>
      <c r="L6" s="8" t="s">
        <v>25</v>
      </c>
      <c r="M6" s="8"/>
      <c r="N6" s="9"/>
    </row>
    <row r="7" customFormat="false" ht="117.75" hidden="false" customHeight="true" outlineLevel="0" collapsed="false">
      <c r="A7" s="4" t="n">
        <v>3</v>
      </c>
      <c r="B7" s="5" t="s">
        <v>16</v>
      </c>
      <c r="C7" s="6" t="s">
        <v>34</v>
      </c>
      <c r="D7" s="6" t="s">
        <v>35</v>
      </c>
      <c r="E7" s="7" t="s">
        <v>36</v>
      </c>
      <c r="F7" s="7" t="s">
        <v>37</v>
      </c>
      <c r="G7" s="7" t="s">
        <v>38</v>
      </c>
      <c r="H7" s="7" t="s">
        <v>39</v>
      </c>
      <c r="I7" s="7" t="s">
        <v>40</v>
      </c>
      <c r="J7" s="6" t="s">
        <v>41</v>
      </c>
      <c r="K7" s="8"/>
      <c r="L7" s="8" t="s">
        <v>25</v>
      </c>
      <c r="M7" s="8"/>
      <c r="N7" s="9"/>
    </row>
    <row r="8" customFormat="false" ht="117.75" hidden="false" customHeight="true" outlineLevel="0" collapsed="false">
      <c r="A8" s="4" t="n">
        <v>4</v>
      </c>
      <c r="B8" s="10" t="s">
        <v>42</v>
      </c>
      <c r="C8" s="6" t="s">
        <v>17</v>
      </c>
      <c r="D8" s="6" t="s">
        <v>43</v>
      </c>
      <c r="E8" s="7" t="s">
        <v>44</v>
      </c>
      <c r="F8" s="7" t="s">
        <v>45</v>
      </c>
      <c r="G8" s="7" t="s">
        <v>46</v>
      </c>
      <c r="H8" s="7" t="s">
        <v>47</v>
      </c>
      <c r="I8" s="7" t="s">
        <v>48</v>
      </c>
      <c r="J8" s="6" t="s">
        <v>49</v>
      </c>
      <c r="K8" s="8"/>
      <c r="L8" s="8" t="s">
        <v>25</v>
      </c>
      <c r="M8" s="8"/>
      <c r="N8" s="9"/>
    </row>
    <row r="9" customFormat="false" ht="117.75" hidden="false" customHeight="true" outlineLevel="0" collapsed="false">
      <c r="A9" s="4" t="n">
        <v>5</v>
      </c>
      <c r="B9" s="10" t="s">
        <v>42</v>
      </c>
      <c r="C9" s="6" t="s">
        <v>26</v>
      </c>
      <c r="D9" s="6" t="s">
        <v>50</v>
      </c>
      <c r="E9" s="7" t="s">
        <v>51</v>
      </c>
      <c r="F9" s="7" t="s">
        <v>52</v>
      </c>
      <c r="G9" s="7" t="s">
        <v>53</v>
      </c>
      <c r="H9" s="7" t="s">
        <v>54</v>
      </c>
      <c r="I9" s="7" t="s">
        <v>55</v>
      </c>
      <c r="J9" s="6" t="s">
        <v>56</v>
      </c>
      <c r="K9" s="8"/>
      <c r="L9" s="8" t="s">
        <v>25</v>
      </c>
      <c r="M9" s="8"/>
      <c r="N9" s="9"/>
    </row>
    <row r="10" customFormat="false" ht="117.75" hidden="false" customHeight="true" outlineLevel="0" collapsed="false">
      <c r="A10" s="4" t="n">
        <v>6</v>
      </c>
      <c r="B10" s="10" t="s">
        <v>42</v>
      </c>
      <c r="C10" s="6" t="s">
        <v>34</v>
      </c>
      <c r="D10" s="6" t="s">
        <v>57</v>
      </c>
      <c r="E10" s="7" t="s">
        <v>58</v>
      </c>
      <c r="F10" s="7" t="s">
        <v>59</v>
      </c>
      <c r="G10" s="7" t="s">
        <v>60</v>
      </c>
      <c r="H10" s="7" t="s">
        <v>61</v>
      </c>
      <c r="I10" s="7" t="s">
        <v>62</v>
      </c>
      <c r="J10" s="6" t="s">
        <v>63</v>
      </c>
      <c r="K10" s="8"/>
      <c r="L10" s="8" t="s">
        <v>25</v>
      </c>
      <c r="M10" s="8"/>
      <c r="N10" s="9"/>
    </row>
    <row r="11" customFormat="false" ht="117.75" hidden="false" customHeight="true" outlineLevel="0" collapsed="false">
      <c r="A11" s="4" t="n">
        <v>7</v>
      </c>
      <c r="B11" s="11" t="s">
        <v>64</v>
      </c>
      <c r="C11" s="6" t="s">
        <v>17</v>
      </c>
      <c r="D11" s="6" t="s">
        <v>65</v>
      </c>
      <c r="E11" s="7" t="s">
        <v>66</v>
      </c>
      <c r="F11" s="7" t="s">
        <v>67</v>
      </c>
      <c r="G11" s="7" t="s">
        <v>68</v>
      </c>
      <c r="H11" s="7" t="s">
        <v>69</v>
      </c>
      <c r="I11" s="7" t="s">
        <v>70</v>
      </c>
      <c r="J11" s="6" t="s">
        <v>71</v>
      </c>
      <c r="K11" s="8"/>
      <c r="L11" s="8" t="s">
        <v>25</v>
      </c>
      <c r="M11" s="8"/>
      <c r="N11" s="9"/>
    </row>
    <row r="12" customFormat="false" ht="117.75" hidden="false" customHeight="true" outlineLevel="0" collapsed="false">
      <c r="A12" s="4" t="n">
        <v>8</v>
      </c>
      <c r="B12" s="11" t="s">
        <v>64</v>
      </c>
      <c r="C12" s="6" t="s">
        <v>26</v>
      </c>
      <c r="D12" s="6" t="s">
        <v>72</v>
      </c>
      <c r="E12" s="7" t="s">
        <v>73</v>
      </c>
      <c r="F12" s="7" t="s">
        <v>74</v>
      </c>
      <c r="G12" s="7" t="s">
        <v>75</v>
      </c>
      <c r="H12" s="7" t="s">
        <v>76</v>
      </c>
      <c r="I12" s="7" t="s">
        <v>77</v>
      </c>
      <c r="J12" s="6" t="s">
        <v>78</v>
      </c>
      <c r="K12" s="8"/>
      <c r="L12" s="8" t="s">
        <v>25</v>
      </c>
      <c r="M12" s="8"/>
      <c r="N12" s="9"/>
    </row>
    <row r="13" customFormat="false" ht="117.75" hidden="false" customHeight="true" outlineLevel="0" collapsed="false">
      <c r="A13" s="4" t="n">
        <v>9</v>
      </c>
      <c r="B13" s="11" t="s">
        <v>64</v>
      </c>
      <c r="C13" s="6" t="s">
        <v>34</v>
      </c>
      <c r="D13" s="6" t="s">
        <v>79</v>
      </c>
      <c r="E13" s="7" t="s">
        <v>80</v>
      </c>
      <c r="F13" s="7" t="s">
        <v>81</v>
      </c>
      <c r="G13" s="7" t="s">
        <v>82</v>
      </c>
      <c r="H13" s="7" t="s">
        <v>83</v>
      </c>
      <c r="I13" s="7" t="s">
        <v>84</v>
      </c>
      <c r="J13" s="6" t="s">
        <v>85</v>
      </c>
      <c r="K13" s="8"/>
      <c r="L13" s="8" t="s">
        <v>25</v>
      </c>
      <c r="M13" s="8"/>
      <c r="N13" s="9"/>
    </row>
    <row r="14" customFormat="false" ht="117.75" hidden="false" customHeight="true" outlineLevel="0" collapsed="false">
      <c r="A14" s="4" t="n">
        <v>10</v>
      </c>
      <c r="B14" s="12" t="s">
        <v>86</v>
      </c>
      <c r="C14" s="6" t="s">
        <v>17</v>
      </c>
      <c r="D14" s="6" t="s">
        <v>87</v>
      </c>
      <c r="E14" s="7" t="s">
        <v>88</v>
      </c>
      <c r="F14" s="7" t="s">
        <v>89</v>
      </c>
      <c r="G14" s="7" t="s">
        <v>90</v>
      </c>
      <c r="H14" s="7" t="s">
        <v>91</v>
      </c>
      <c r="I14" s="7" t="s">
        <v>92</v>
      </c>
      <c r="J14" s="6" t="s">
        <v>93</v>
      </c>
      <c r="K14" s="8"/>
      <c r="L14" s="8" t="s">
        <v>25</v>
      </c>
      <c r="M14" s="8"/>
      <c r="N14" s="9"/>
    </row>
    <row r="15" customFormat="false" ht="117.75" hidden="false" customHeight="true" outlineLevel="0" collapsed="false">
      <c r="A15" s="4" t="n">
        <v>11</v>
      </c>
      <c r="B15" s="12" t="s">
        <v>86</v>
      </c>
      <c r="C15" s="6" t="s">
        <v>26</v>
      </c>
      <c r="D15" s="6" t="s">
        <v>94</v>
      </c>
      <c r="E15" s="7" t="s">
        <v>95</v>
      </c>
      <c r="F15" s="7" t="s">
        <v>96</v>
      </c>
      <c r="G15" s="7" t="s">
        <v>97</v>
      </c>
      <c r="H15" s="7" t="s">
        <v>98</v>
      </c>
      <c r="I15" s="7" t="s">
        <v>99</v>
      </c>
      <c r="J15" s="6" t="s">
        <v>100</v>
      </c>
      <c r="K15" s="8"/>
      <c r="L15" s="8" t="s">
        <v>25</v>
      </c>
      <c r="M15" s="8"/>
      <c r="N15" s="9"/>
    </row>
    <row r="16" customFormat="false" ht="117.75" hidden="false" customHeight="true" outlineLevel="0" collapsed="false">
      <c r="A16" s="4" t="n">
        <v>12</v>
      </c>
      <c r="B16" s="12" t="s">
        <v>86</v>
      </c>
      <c r="C16" s="6" t="s">
        <v>34</v>
      </c>
      <c r="D16" s="6" t="s">
        <v>101</v>
      </c>
      <c r="E16" s="7" t="s">
        <v>102</v>
      </c>
      <c r="F16" s="7" t="s">
        <v>103</v>
      </c>
      <c r="G16" s="7" t="s">
        <v>104</v>
      </c>
      <c r="H16" s="7" t="s">
        <v>105</v>
      </c>
      <c r="I16" s="7" t="s">
        <v>106</v>
      </c>
      <c r="J16" s="6" t="s">
        <v>107</v>
      </c>
      <c r="K16" s="8"/>
      <c r="L16" s="8" t="s">
        <v>25</v>
      </c>
      <c r="M16" s="8"/>
      <c r="N16" s="9"/>
    </row>
    <row r="17" customFormat="false" ht="117.75" hidden="false" customHeight="true" outlineLevel="0" collapsed="false">
      <c r="A17" s="4" t="n">
        <v>13</v>
      </c>
      <c r="B17" s="13" t="s">
        <v>108</v>
      </c>
      <c r="C17" s="6" t="s">
        <v>17</v>
      </c>
      <c r="D17" s="6" t="s">
        <v>109</v>
      </c>
      <c r="E17" s="7" t="s">
        <v>110</v>
      </c>
      <c r="F17" s="7" t="s">
        <v>111</v>
      </c>
      <c r="G17" s="7" t="s">
        <v>112</v>
      </c>
      <c r="H17" s="7" t="s">
        <v>113</v>
      </c>
      <c r="I17" s="7" t="s">
        <v>114</v>
      </c>
      <c r="J17" s="6" t="s">
        <v>115</v>
      </c>
      <c r="K17" s="8"/>
      <c r="L17" s="8" t="s">
        <v>25</v>
      </c>
      <c r="M17" s="8"/>
      <c r="N17" s="9"/>
    </row>
    <row r="18" customFormat="false" ht="117.75" hidden="false" customHeight="true" outlineLevel="0" collapsed="false">
      <c r="A18" s="4" t="n">
        <v>14</v>
      </c>
      <c r="B18" s="13" t="s">
        <v>108</v>
      </c>
      <c r="C18" s="6" t="s">
        <v>26</v>
      </c>
      <c r="D18" s="6" t="s">
        <v>116</v>
      </c>
      <c r="E18" s="7" t="s">
        <v>117</v>
      </c>
      <c r="F18" s="7" t="s">
        <v>118</v>
      </c>
      <c r="G18" s="7" t="s">
        <v>119</v>
      </c>
      <c r="H18" s="7" t="s">
        <v>120</v>
      </c>
      <c r="I18" s="7" t="s">
        <v>121</v>
      </c>
      <c r="J18" s="6" t="s">
        <v>122</v>
      </c>
      <c r="K18" s="8"/>
      <c r="L18" s="8" t="s">
        <v>25</v>
      </c>
      <c r="M18" s="8"/>
      <c r="N18" s="9"/>
    </row>
    <row r="19" customFormat="false" ht="117.75" hidden="false" customHeight="true" outlineLevel="0" collapsed="false">
      <c r="A19" s="4" t="n">
        <v>15</v>
      </c>
      <c r="B19" s="13" t="s">
        <v>108</v>
      </c>
      <c r="C19" s="6" t="s">
        <v>34</v>
      </c>
      <c r="D19" s="6" t="s">
        <v>123</v>
      </c>
      <c r="E19" s="7" t="s">
        <v>124</v>
      </c>
      <c r="F19" s="7" t="s">
        <v>125</v>
      </c>
      <c r="G19" s="7" t="s">
        <v>126</v>
      </c>
      <c r="H19" s="7" t="s">
        <v>127</v>
      </c>
      <c r="I19" s="7" t="s">
        <v>128</v>
      </c>
      <c r="J19" s="6" t="s">
        <v>129</v>
      </c>
      <c r="K19" s="8"/>
      <c r="L19" s="8" t="s">
        <v>25</v>
      </c>
      <c r="M19" s="8"/>
      <c r="N19" s="9"/>
    </row>
  </sheetData>
  <autoFilter ref="A4:N19"/>
  <mergeCells count="2">
    <mergeCell ref="A1:N1"/>
    <mergeCell ref="A2:N2"/>
  </mergeCells>
  <dataValidations count="1">
    <dataValidation allowBlank="true" errorStyle="stop" operator="between" showDropDown="false" showErrorMessage="false" showInputMessage="false" sqref="L5:L19" type="list">
      <formula1>"Not started,Drafted,Scheduled,Published"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8"/>
    <col collapsed="false" customWidth="true" hidden="false" outlineLevel="0" max="3" min="3" style="0" width="40"/>
  </cols>
  <sheetData>
    <row r="1" customFormat="false" ht="24" hidden="false" customHeight="true" outlineLevel="0" collapsed="false">
      <c r="A1" s="14" t="s">
        <v>130</v>
      </c>
      <c r="B1" s="14"/>
      <c r="C1" s="14"/>
    </row>
    <row r="3" customFormat="false" ht="25.5" hidden="false" customHeight="true" outlineLevel="0" collapsed="false">
      <c r="A3" s="3" t="s">
        <v>3</v>
      </c>
      <c r="B3" s="3" t="s">
        <v>131</v>
      </c>
      <c r="C3" s="3" t="s">
        <v>132</v>
      </c>
    </row>
    <row r="4" customFormat="false" ht="73.5" hidden="false" customHeight="true" outlineLevel="0" collapsed="false">
      <c r="A4" s="15" t="s">
        <v>16</v>
      </c>
      <c r="B4" s="7" t="s">
        <v>133</v>
      </c>
      <c r="C4" s="7" t="s">
        <v>134</v>
      </c>
    </row>
    <row r="5" customFormat="false" ht="73.5" hidden="false" customHeight="true" outlineLevel="0" collapsed="false">
      <c r="A5" s="16" t="s">
        <v>42</v>
      </c>
      <c r="B5" s="7" t="s">
        <v>135</v>
      </c>
      <c r="C5" s="7" t="s">
        <v>134</v>
      </c>
    </row>
    <row r="6" customFormat="false" ht="73.5" hidden="false" customHeight="true" outlineLevel="0" collapsed="false">
      <c r="A6" s="17" t="s">
        <v>64</v>
      </c>
      <c r="B6" s="7" t="s">
        <v>136</v>
      </c>
      <c r="C6" s="7" t="s">
        <v>134</v>
      </c>
    </row>
    <row r="7" customFormat="false" ht="73.5" hidden="false" customHeight="true" outlineLevel="0" collapsed="false">
      <c r="A7" s="18" t="s">
        <v>86</v>
      </c>
      <c r="B7" s="7" t="s">
        <v>137</v>
      </c>
      <c r="C7" s="7" t="s">
        <v>134</v>
      </c>
    </row>
    <row r="8" customFormat="false" ht="73.5" hidden="false" customHeight="true" outlineLevel="0" collapsed="false">
      <c r="A8" s="19" t="s">
        <v>108</v>
      </c>
      <c r="B8" s="7" t="s">
        <v>138</v>
      </c>
      <c r="C8" s="7" t="s">
        <v>134</v>
      </c>
    </row>
    <row r="11" customFormat="false" ht="15" hidden="false" customHeight="false" outlineLevel="0" collapsed="false">
      <c r="A11" s="20" t="s">
        <v>139</v>
      </c>
    </row>
    <row r="12" customFormat="false" ht="15" hidden="false" customHeight="false" outlineLevel="0" collapsed="false">
      <c r="A12" s="21" t="s">
        <v>140</v>
      </c>
      <c r="B12" s="22" t="n">
        <f aca="false">COUNTA('Content Plan'!D5:D19)</f>
        <v>15</v>
      </c>
    </row>
    <row r="13" customFormat="false" ht="15" hidden="false" customHeight="false" outlineLevel="0" collapsed="false">
      <c r="A13" s="21" t="s">
        <v>141</v>
      </c>
      <c r="B13" s="22" t="n">
        <f aca="false">COUNTIF('Content Plan'!L5:L19,"Not started")</f>
        <v>0</v>
      </c>
    </row>
    <row r="14" customFormat="false" ht="15" hidden="false" customHeight="false" outlineLevel="0" collapsed="false">
      <c r="A14" s="21" t="s">
        <v>25</v>
      </c>
      <c r="B14" s="22" t="n">
        <f aca="false">COUNTIF('Content Plan'!L5:L19,"Drafted")</f>
        <v>15</v>
      </c>
    </row>
    <row r="15" customFormat="false" ht="15" hidden="false" customHeight="false" outlineLevel="0" collapsed="false">
      <c r="A15" s="21" t="s">
        <v>142</v>
      </c>
      <c r="B15" s="22" t="n">
        <f aca="false">COUNTIF('Content Plan'!L5:L19,"Scheduled")</f>
        <v>0</v>
      </c>
    </row>
    <row r="16" customFormat="false" ht="15" hidden="false" customHeight="false" outlineLevel="0" collapsed="false">
      <c r="A16" s="21" t="s">
        <v>143</v>
      </c>
      <c r="B16" s="22" t="n">
        <f aca="false">COUNTIF('Content Plan'!L5:L19,"Published")</f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23" t="s">
        <v>144</v>
      </c>
    </row>
    <row r="2" customFormat="false" ht="15" hidden="false" customHeight="false" outlineLevel="0" collapsed="false">
      <c r="A2" s="24"/>
    </row>
    <row r="3" customFormat="false" ht="15" hidden="false" customHeight="false" outlineLevel="0" collapsed="false">
      <c r="A3" s="25" t="s">
        <v>145</v>
      </c>
    </row>
    <row r="4" customFormat="false" ht="15" hidden="false" customHeight="false" outlineLevel="0" collapsed="false">
      <c r="A4" s="24" t="s">
        <v>146</v>
      </c>
    </row>
    <row r="5" customFormat="false" ht="15" hidden="false" customHeight="false" outlineLevel="0" collapsed="false">
      <c r="A5" s="24" t="s">
        <v>147</v>
      </c>
    </row>
    <row r="6" customFormat="false" ht="15" hidden="false" customHeight="false" outlineLevel="0" collapsed="false">
      <c r="A6" s="24" t="s">
        <v>148</v>
      </c>
    </row>
    <row r="7" customFormat="false" ht="15" hidden="false" customHeight="false" outlineLevel="0" collapsed="false">
      <c r="A7" s="24"/>
    </row>
    <row r="8" customFormat="false" ht="15" hidden="false" customHeight="false" outlineLevel="0" collapsed="false">
      <c r="A8" s="25" t="s">
        <v>149</v>
      </c>
    </row>
    <row r="9" customFormat="false" ht="15" hidden="false" customHeight="false" outlineLevel="0" collapsed="false">
      <c r="A9" s="24" t="s">
        <v>150</v>
      </c>
    </row>
    <row r="10" customFormat="false" ht="15" hidden="false" customHeight="false" outlineLevel="0" collapsed="false">
      <c r="A10" s="24" t="s">
        <v>151</v>
      </c>
    </row>
    <row r="11" customFormat="false" ht="15" hidden="false" customHeight="false" outlineLevel="0" collapsed="false">
      <c r="A11" s="24" t="s">
        <v>152</v>
      </c>
    </row>
    <row r="12" customFormat="false" ht="15" hidden="false" customHeight="false" outlineLevel="0" collapsed="false">
      <c r="A12" s="24" t="s">
        <v>153</v>
      </c>
    </row>
    <row r="13" customFormat="false" ht="15" hidden="false" customHeight="false" outlineLevel="0" collapsed="false">
      <c r="A13" s="24"/>
    </row>
    <row r="14" customFormat="false" ht="15" hidden="false" customHeight="false" outlineLevel="0" collapsed="false">
      <c r="A14" s="25" t="s">
        <v>154</v>
      </c>
    </row>
    <row r="15" customFormat="false" ht="15" hidden="false" customHeight="false" outlineLevel="0" collapsed="false">
      <c r="A15" s="24" t="s">
        <v>155</v>
      </c>
    </row>
    <row r="16" customFormat="false" ht="15" hidden="false" customHeight="false" outlineLevel="0" collapsed="false">
      <c r="A16" s="24" t="s">
        <v>156</v>
      </c>
    </row>
    <row r="17" customFormat="false" ht="15" hidden="false" customHeight="false" outlineLevel="0" collapsed="false">
      <c r="A17" s="24" t="s">
        <v>157</v>
      </c>
    </row>
    <row r="18" customFormat="false" ht="15" hidden="false" customHeight="false" outlineLevel="0" collapsed="false">
      <c r="A18" s="24" t="s">
        <v>158</v>
      </c>
    </row>
    <row r="19" customFormat="false" ht="15" hidden="false" customHeight="false" outlineLevel="0" collapsed="false">
      <c r="A19" s="24"/>
    </row>
    <row r="20" customFormat="false" ht="15" hidden="false" customHeight="false" outlineLevel="0" collapsed="false">
      <c r="A20" s="25" t="s">
        <v>159</v>
      </c>
    </row>
    <row r="21" customFormat="false" ht="15" hidden="false" customHeight="false" outlineLevel="0" collapsed="false">
      <c r="A21" s="24" t="s">
        <v>160</v>
      </c>
    </row>
    <row r="22" customFormat="false" ht="15" hidden="false" customHeight="false" outlineLevel="0" collapsed="false">
      <c r="A22" s="24" t="s">
        <v>161</v>
      </c>
    </row>
    <row r="23" customFormat="false" ht="15" hidden="false" customHeight="false" outlineLevel="0" collapsed="false">
      <c r="A23" s="24"/>
    </row>
    <row r="24" customFormat="false" ht="15" hidden="false" customHeight="false" outlineLevel="0" collapsed="false">
      <c r="A24" s="25" t="s">
        <v>162</v>
      </c>
    </row>
    <row r="25" customFormat="false" ht="15" hidden="false" customHeight="false" outlineLevel="0" collapsed="false">
      <c r="A25" s="24" t="s">
        <v>163</v>
      </c>
    </row>
    <row r="26" customFormat="false" ht="15" hidden="false" customHeight="false" outlineLevel="0" collapsed="false">
      <c r="A26" s="24" t="s">
        <v>164</v>
      </c>
    </row>
    <row r="27" customFormat="false" ht="15" hidden="false" customHeight="false" outlineLevel="0" collapsed="false">
      <c r="A27" s="24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2026-07-22T17:59:55Z</dcterms:created>
  <dc:creator>openpyxl</dc:creator>
  <dc:description/>
  <dc:language>en-US</dc:language>
  <cp:lastModifiedBy/>
  <dcterms:modified xsi:type="dcterms:W3CDTF">2026-07-22T17:59:55Z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